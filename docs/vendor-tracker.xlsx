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Summary" sheetId="2" state="visible" r:id="rId4"/>
    <sheet name="How to use" sheetId="3" state="visible" r:id="rId5"/>
  </sheets>
  <definedNames>
    <definedName function="false" hidden="true" localSheetId="0" name="_xlnm._FilterDatabase" vbProcedure="false">Vendors!$A$1:$P$24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<sst xmlns="http://schemas.openxmlformats.org/spreadsheetml/2006/main" count="216" uniqueCount="134">
  <si>
    <t xml:space="preserve">Page</t>
  </si>
  <si>
    <t xml:space="preserve">Name</t>
  </si>
  <si>
    <t xml:space="preserve">Round</t>
  </si>
  <si>
    <t xml:space="preserve">Status</t>
  </si>
  <si>
    <t xml:space="preserve">Listed on site</t>
  </si>
  <si>
    <t xml:space="preserve">Last contact</t>
  </si>
  <si>
    <t xml:space="preserve">Attempts</t>
  </si>
  <si>
    <t xml:space="preserve">Decide by</t>
  </si>
  <si>
    <t xml:space="preserve">Action</t>
  </si>
  <si>
    <t xml:space="preserve">Location</t>
  </si>
  <si>
    <t xml:space="preserve">Website / source</t>
  </si>
  <si>
    <t xml:space="preserve">Phone</t>
  </si>
  <si>
    <t xml:space="preserve">Instagram</t>
  </si>
  <si>
    <t xml:space="preserve">Info checked</t>
  </si>
  <si>
    <t xml:space="preserve">Still needed</t>
  </si>
  <si>
    <t xml:space="preserve">Notes</t>
  </si>
  <si>
    <t xml:space="preserve">Airport lei</t>
  </si>
  <si>
    <t xml:space="preserve">Maile's Lei Stand</t>
  </si>
  <si>
    <t xml:space="preserve">Not contacted</t>
  </si>
  <si>
    <t xml:space="preserve">HNL lei stand row</t>
  </si>
  <si>
    <t xml:space="preserve">HPR, Apr 28 2023</t>
  </si>
  <si>
    <t xml:space="preserve">2026-10-08</t>
  </si>
  <si>
    <t xml:space="preserve">Open in 2026? stall, hours, payment, phone, prices, photo</t>
  </si>
  <si>
    <t xml:space="preserve">Family stand since 1945; renamed for Maile Lee in 1962</t>
  </si>
  <si>
    <t xml:space="preserve">Gladys' Lei Stand</t>
  </si>
  <si>
    <t xml:space="preserve">Beat of Hawaii, Sep 2 2025</t>
  </si>
  <si>
    <t xml:space="preserve">Still operating? stall, hours, payment, phone, prices, photo</t>
  </si>
  <si>
    <t xml:space="preserve">Faced reported removal pressure in 2025; founding 1940s vs 1948 to confirm</t>
  </si>
  <si>
    <t xml:space="preserve">Sophia's Lei Stand</t>
  </si>
  <si>
    <t xml:space="preserve">Beat of Hawaii, May 21 2025</t>
  </si>
  <si>
    <t xml:space="preserve">Stall, hours, payment, phone, prices, photo</t>
  </si>
  <si>
    <t xml:space="preserve">Started by Sophia Ventura about 1950; granddaughter Stacy Farias</t>
  </si>
  <si>
    <t xml:space="preserve">Pua Melia Lei Stand</t>
  </si>
  <si>
    <t xml:space="preserve">HNL, Stall 12, Bldg 302</t>
  </si>
  <si>
    <t xml:space="preserve">HDOT permit, Jul 2 2026</t>
  </si>
  <si>
    <t xml:space="preserve">Permit approved? hours, payment, phone, prices, photo</t>
  </si>
  <si>
    <t xml:space="preserve">Operator Theola Kaae</t>
  </si>
  <si>
    <t xml:space="preserve">Harriet's Lei Stand</t>
  </si>
  <si>
    <t xml:space="preserve">HNL, Stall 1</t>
  </si>
  <si>
    <t xml:space="preserve">Yelp; HDOT lei greeting page</t>
  </si>
  <si>
    <t xml:space="preserve">Hours, payment, phone, prices, photo</t>
  </si>
  <si>
    <t xml:space="preserve">Dorothy's Lei Stand</t>
  </si>
  <si>
    <t xml:space="preserve">Honolulu Magazine, Oct 2020</t>
  </si>
  <si>
    <t xml:space="preserve">Still operating? all details</t>
  </si>
  <si>
    <t xml:space="preserve">Martha's Lei Stand</t>
  </si>
  <si>
    <t xml:space="preserve">Hawaii Business, Oct 2020</t>
  </si>
  <si>
    <t xml:space="preserve">Milan Chun</t>
  </si>
  <si>
    <t xml:space="preserve">Rachel's Lei Stand</t>
  </si>
  <si>
    <t xml:space="preserve">thehawaiivacationguide.com</t>
  </si>
  <si>
    <t xml:space="preserve">Family owned 90+ years per Native Hawaiian Business Directory</t>
  </si>
  <si>
    <t xml:space="preserve">Luau guide</t>
  </si>
  <si>
    <t xml:space="preserve">Germaine's Luau</t>
  </si>
  <si>
    <t xml:space="preserve">Kapolei</t>
  </si>
  <si>
    <t xml:space="preserve">germainesluau.com</t>
  </si>
  <si>
    <t xml:space="preserve">Photos permission, affiliate or direct deal</t>
  </si>
  <si>
    <t xml:space="preserve">Packages from $128 (site, Oct 2026)</t>
  </si>
  <si>
    <t xml:space="preserve">Toa Luau</t>
  </si>
  <si>
    <t xml:space="preserve">Waimea Valley, North Shore</t>
  </si>
  <si>
    <t xml:space="preserve">Shaka Guide luau guide</t>
  </si>
  <si>
    <t xml:space="preserve">Current prices, photos permission</t>
  </si>
  <si>
    <t xml:space="preserve">$115 to $170 per Shaka Guide</t>
  </si>
  <si>
    <t xml:space="preserve">Ka Moana Luau</t>
  </si>
  <si>
    <t xml:space="preserve">Sea Life Park, Waimanalo</t>
  </si>
  <si>
    <t xml:space="preserve">$80 to $170 per Shaka Guide</t>
  </si>
  <si>
    <t xml:space="preserve">Ali'i Luau, Polynesian Cultural Center</t>
  </si>
  <si>
    <t xml:space="preserve">Laie, North Shore</t>
  </si>
  <si>
    <t xml:space="preserve">polynesia.com</t>
  </si>
  <si>
    <t xml:space="preserve">Join affiliate program (Impact, 5%)</t>
  </si>
  <si>
    <t xml:space="preserve">$60 to $250 per Shaka Guide</t>
  </si>
  <si>
    <t xml:space="preserve">Chief's Luau</t>
  </si>
  <si>
    <t xml:space="preserve">Wet'n'Wild, Kapolei</t>
  </si>
  <si>
    <t xml:space="preserve">$100 to $150 per Shaka Guide</t>
  </si>
  <si>
    <t xml:space="preserve">Kaula Luau</t>
  </si>
  <si>
    <t xml:space="preserve">theoahuist.com; Hawaii News Now</t>
  </si>
  <si>
    <t xml:space="preserve">Location, prices, photos</t>
  </si>
  <si>
    <t xml:space="preserve">Opened Feb 27 2026</t>
  </si>
  <si>
    <t xml:space="preserve">Send a lei</t>
  </si>
  <si>
    <t xml:space="preserve">Cindy's Lei Shoppe</t>
  </si>
  <si>
    <t xml:space="preserve">Chinatown, Honolulu</t>
  </si>
  <si>
    <t xml:space="preserve">cindysleishoppe.com</t>
  </si>
  <si>
    <t xml:space="preserve">Orchid lei price, referral code</t>
  </si>
  <si>
    <t xml:space="preserve">Shipping $55 for 1 to 2 lei (FedEx Priority); 72 hours notice</t>
  </si>
  <si>
    <t xml:space="preserve">Flower Leis</t>
  </si>
  <si>
    <t xml:space="preserve">Oahu</t>
  </si>
  <si>
    <t xml:space="preserve">flowerleis.com</t>
  </si>
  <si>
    <t xml:space="preserve">Delay policy, referral code</t>
  </si>
  <si>
    <t xml:space="preserve">Orchid $13.99; shipping from $38.50 plus about $3 per extra lei</t>
  </si>
  <si>
    <t xml:space="preserve">Buy Hawaiian Lei</t>
  </si>
  <si>
    <t xml:space="preserve">buyhawaiianlei.com</t>
  </si>
  <si>
    <t xml:space="preserve">Shipping rate, regions, referral code</t>
  </si>
  <si>
    <t xml:space="preserve">Orchid $14.99; 7-lei packs ship free; freshness guarantee</t>
  </si>
  <si>
    <t xml:space="preserve">Hawaii Flower Lei</t>
  </si>
  <si>
    <t xml:space="preserve">Honolulu</t>
  </si>
  <si>
    <t xml:space="preserve">hawaiiflowerlei.com</t>
  </si>
  <si>
    <t xml:space="preserve">Shipping rate, delay policy, referral code</t>
  </si>
  <si>
    <t xml:space="preserve">Orchid $16 to $25; overnight to 9 western states</t>
  </si>
  <si>
    <t xml:space="preserve">Hawaii Lei Stand</t>
  </si>
  <si>
    <t xml:space="preserve">Honolulu (Beretania Florist)</t>
  </si>
  <si>
    <t xml:space="preserve">hawaiileistand.com</t>
  </si>
  <si>
    <t xml:space="preserve">Shipping rate, referral code</t>
  </si>
  <si>
    <t xml:space="preserve">Orchid $19.99; no refunds for FedEx delays</t>
  </si>
  <si>
    <t xml:space="preserve">Shaka Lei</t>
  </si>
  <si>
    <t xml:space="preserve">shakalei.com</t>
  </si>
  <si>
    <t xml:space="preserve">Address, shipping rate, policy</t>
  </si>
  <si>
    <t xml:space="preserve">Orchid $14.79; next day west of the Rockies</t>
  </si>
  <si>
    <t xml:space="preserve">The Hawaiian Lei Company</t>
  </si>
  <si>
    <t xml:space="preserve">hawaiianleicompany.com</t>
  </si>
  <si>
    <t xml:space="preserve">Orchid price, referral code</t>
  </si>
  <si>
    <t xml:space="preserve">$10 pack fee plus carrier cost</t>
  </si>
  <si>
    <t xml:space="preserve">Aloha Island Lei</t>
  </si>
  <si>
    <t xml:space="preserve">Aiea</t>
  </si>
  <si>
    <t xml:space="preserve">alohaislandlei.com</t>
  </si>
  <si>
    <t xml:space="preserve">Shipping rate, policy</t>
  </si>
  <si>
    <t xml:space="preserve">Orchid $13.99</t>
  </si>
  <si>
    <t xml:space="preserve">Greeters of Hawaii</t>
  </si>
  <si>
    <t xml:space="preserve">greetersofhawaii.com</t>
  </si>
  <si>
    <t xml:space="preserve">Prices, referral deal</t>
  </si>
  <si>
    <t xml:space="preserve">Greeting service; phone bookings only</t>
  </si>
  <si>
    <t xml:space="preserve">Round 1</t>
  </si>
  <si>
    <t xml:space="preserve">Verified</t>
  </si>
  <si>
    <t xml:space="preserve">Contacted</t>
  </si>
  <si>
    <t xml:space="preserve">To remove</t>
  </si>
  <si>
    <t xml:space="preserve">Total</t>
  </si>
  <si>
    <t xml:space="preserve">Vendor tracker, Get Local Hawaii</t>
  </si>
  <si>
    <t xml:space="preserve">Blue text = cells you edit. Black = formulas, leave them alone.</t>
  </si>
  <si>
    <t xml:space="preserve">Status: pick from the list (Not contacted, Contacted, Verified, Declined, Closed).</t>
  </si>
  <si>
    <t xml:space="preserve">Verified means confirmed by your own visit or the vendor, not just a website. Only Verified rows appear on the site.</t>
  </si>
  <si>
    <t xml:space="preserve">Last contact: the date you last reached out. Attempts: how many times you have tried.</t>
  </si>
  <si>
    <t xml:space="preserve">Decide by = last contact + 30 days.</t>
  </si>
  <si>
    <t xml:space="preserve">Action: Remove when closed or declined, or when contacted with 2+ attempts or past the decide-by date with no confirmation. Keep when verified. Otherwise follow up.</t>
  </si>
  <si>
    <t xml:space="preserve">Info checked: the date the details in Notes came from a public source.</t>
  </si>
  <si>
    <t xml:space="preserve">Round 1 = the short launch list. Round 2 = next outreach batch.</t>
  </si>
  <si>
    <t xml:space="preserve">Monthly check day: update statuses, add newly verified vendors to the site, remove anything marked Remove, update the checked dates on the pages.</t>
  </si>
  <si>
    <t xml:space="preserve">Removal rule (decided 2026-10-08): closed, or no confirmation after two attempts or 30 days.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</si>
</sst>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18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518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8F0E0"/>
        </patternFill>
      </fill>
    </dxf>
    <dxf>
      <fill>
        <patternFill>
          <bgColor rgb="FFFDF0C8"/>
        </patternFill>
      </fill>
    </dxf>
    <dxf>
      <fill>
        <patternFill>
          <bgColor rgb="FFF8D7D3"/>
        </patternFill>
      </fill>
    </dxf>
    <dxf>
      <fill>
        <patternFill>
          <bgColor rgb="FFE2E2E2"/>
        </patternFill>
      </fill>
    </dxf>
    <dxf>
      <font>
        <name val="Arial"/>
        <charset val="1"/>
        <family val="0"/>
        <b val="1"/>
        <color rgb="FF9B2C1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C8"/>
      <rgbColor rgb="FFE2E2E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0E0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81B"/>
      <rgbColor rgb="FF333300"/>
      <rgbColor rgb="FF9B2C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4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6.85" hidden="false" customHeight="false" outlineLevel="0" collapsed="false">
      <c r="A2" s="2" t="s">
        <v>16</v>
      </c>
      <c r="B2" s="2" t="s">
        <v>17</v>
      </c>
      <c r="C2" s="2" t="n">
        <v>1</v>
      </c>
      <c r="D2" s="2" t="s">
        <v>18</v>
      </c>
      <c r="E2" s="3" t="str">
        <f aca="false">IF(D2="Verified","Yes","No")</f>
        <v>No</v>
      </c>
      <c r="F2" s="4"/>
      <c r="G2" s="2" t="n">
        <v>0</v>
      </c>
      <c r="H2" s="5" t="str">
        <f aca="false">IF(F2="","",F2+30)</f>
        <v/>
      </c>
      <c r="I2" s="3" t="str">
        <f aca="true">IF(OR(D2="Closed",D2="Declined"),"Remove",IF(D2="Verified","Keep",IF(AND(D2="Contacted",OR(G2&gt;=2,AND(H2&lt;&gt;"",TODAY()&gt;H2))),"Remove","Follow up")))</f>
        <v>Follow up</v>
      </c>
      <c r="J2" s="2" t="s">
        <v>19</v>
      </c>
      <c r="K2" s="2" t="s">
        <v>20</v>
      </c>
      <c r="L2" s="2"/>
      <c r="M2" s="2"/>
      <c r="N2" s="2" t="s">
        <v>21</v>
      </c>
      <c r="O2" s="2" t="s">
        <v>22</v>
      </c>
      <c r="P2" s="2" t="s">
        <v>23</v>
      </c>
    </row>
    <row r="3" customFormat="false" ht="26.85" hidden="false" customHeight="false" outlineLevel="0" collapsed="false">
      <c r="A3" s="2" t="s">
        <v>16</v>
      </c>
      <c r="B3" s="2" t="s">
        <v>24</v>
      </c>
      <c r="C3" s="2" t="n">
        <v>1</v>
      </c>
      <c r="D3" s="2" t="s">
        <v>18</v>
      </c>
      <c r="E3" s="3" t="str">
        <f aca="false">IF(D3="Verified","Yes","No")</f>
        <v>No</v>
      </c>
      <c r="F3" s="4"/>
      <c r="G3" s="2" t="n">
        <v>0</v>
      </c>
      <c r="H3" s="5" t="str">
        <f aca="false">IF(F3="","",F3+30)</f>
        <v/>
      </c>
      <c r="I3" s="3" t="str">
        <f aca="true">IF(OR(D3="Closed",D3="Declined"),"Remove",IF(D3="Verified","Keep",IF(AND(D3="Contacted",OR(G3&gt;=2,AND(H3&lt;&gt;"",TODAY()&gt;H3))),"Remove","Follow up")))</f>
        <v>Follow up</v>
      </c>
      <c r="J3" s="2" t="s">
        <v>19</v>
      </c>
      <c r="K3" s="2" t="s">
        <v>25</v>
      </c>
      <c r="L3" s="2"/>
      <c r="M3" s="2"/>
      <c r="N3" s="2" t="s">
        <v>21</v>
      </c>
      <c r="O3" s="2" t="s">
        <v>26</v>
      </c>
      <c r="P3" s="2" t="s">
        <v>27</v>
      </c>
    </row>
    <row r="4" customFormat="false" ht="26.85" hidden="false" customHeight="false" outlineLevel="0" collapsed="false">
      <c r="A4" s="2" t="s">
        <v>16</v>
      </c>
      <c r="B4" s="2" t="s">
        <v>28</v>
      </c>
      <c r="C4" s="2" t="n">
        <v>1</v>
      </c>
      <c r="D4" s="2" t="s">
        <v>18</v>
      </c>
      <c r="E4" s="3" t="str">
        <f aca="false">IF(D4="Verified","Yes","No")</f>
        <v>No</v>
      </c>
      <c r="F4" s="4"/>
      <c r="G4" s="2" t="n">
        <v>0</v>
      </c>
      <c r="H4" s="5" t="str">
        <f aca="false">IF(F4="","",F4+30)</f>
        <v/>
      </c>
      <c r="I4" s="3" t="str">
        <f aca="true">IF(OR(D4="Closed",D4="Declined"),"Remove",IF(D4="Verified","Keep",IF(AND(D4="Contacted",OR(G4&gt;=2,AND(H4&lt;&gt;"",TODAY()&gt;H4))),"Remove","Follow up")))</f>
        <v>Follow up</v>
      </c>
      <c r="J4" s="2" t="s">
        <v>19</v>
      </c>
      <c r="K4" s="2" t="s">
        <v>29</v>
      </c>
      <c r="L4" s="2"/>
      <c r="M4" s="2"/>
      <c r="N4" s="2" t="s">
        <v>21</v>
      </c>
      <c r="O4" s="2" t="s">
        <v>30</v>
      </c>
      <c r="P4" s="2" t="s">
        <v>31</v>
      </c>
    </row>
    <row r="5" customFormat="false" ht="26.85" hidden="false" customHeight="false" outlineLevel="0" collapsed="false">
      <c r="A5" s="2" t="s">
        <v>16</v>
      </c>
      <c r="B5" s="2" t="s">
        <v>32</v>
      </c>
      <c r="C5" s="2" t="n">
        <v>1</v>
      </c>
      <c r="D5" s="2" t="s">
        <v>18</v>
      </c>
      <c r="E5" s="3" t="str">
        <f aca="false">IF(D5="Verified","Yes","No")</f>
        <v>No</v>
      </c>
      <c r="F5" s="4"/>
      <c r="G5" s="2" t="n">
        <v>0</v>
      </c>
      <c r="H5" s="5" t="str">
        <f aca="false">IF(F5="","",F5+30)</f>
        <v/>
      </c>
      <c r="I5" s="3" t="str">
        <f aca="true">IF(OR(D5="Closed",D5="Declined"),"Remove",IF(D5="Verified","Keep",IF(AND(D5="Contacted",OR(G5&gt;=2,AND(H5&lt;&gt;"",TODAY()&gt;H5))),"Remove","Follow up")))</f>
        <v>Follow up</v>
      </c>
      <c r="J5" s="2" t="s">
        <v>33</v>
      </c>
      <c r="K5" s="2" t="s">
        <v>34</v>
      </c>
      <c r="L5" s="2"/>
      <c r="M5" s="2"/>
      <c r="N5" s="2" t="s">
        <v>21</v>
      </c>
      <c r="O5" s="2" t="s">
        <v>35</v>
      </c>
      <c r="P5" s="2" t="s">
        <v>36</v>
      </c>
    </row>
    <row r="6" customFormat="false" ht="26.85" hidden="false" customHeight="false" outlineLevel="0" collapsed="false">
      <c r="A6" s="2" t="s">
        <v>16</v>
      </c>
      <c r="B6" s="2" t="s">
        <v>37</v>
      </c>
      <c r="C6" s="2" t="n">
        <v>1</v>
      </c>
      <c r="D6" s="2" t="s">
        <v>18</v>
      </c>
      <c r="E6" s="3" t="str">
        <f aca="false">IF(D6="Verified","Yes","No")</f>
        <v>No</v>
      </c>
      <c r="F6" s="4"/>
      <c r="G6" s="2" t="n">
        <v>0</v>
      </c>
      <c r="H6" s="5" t="str">
        <f aca="false">IF(F6="","",F6+30)</f>
        <v/>
      </c>
      <c r="I6" s="3" t="str">
        <f aca="true">IF(OR(D6="Closed",D6="Declined"),"Remove",IF(D6="Verified","Keep",IF(AND(D6="Contacted",OR(G6&gt;=2,AND(H6&lt;&gt;"",TODAY()&gt;H6))),"Remove","Follow up")))</f>
        <v>Follow up</v>
      </c>
      <c r="J6" s="2" t="s">
        <v>38</v>
      </c>
      <c r="K6" s="2" t="s">
        <v>39</v>
      </c>
      <c r="L6" s="2"/>
      <c r="M6" s="2"/>
      <c r="N6" s="2" t="s">
        <v>21</v>
      </c>
      <c r="O6" s="2" t="s">
        <v>40</v>
      </c>
      <c r="P6" s="2"/>
    </row>
    <row r="7" customFormat="false" ht="26.85" hidden="false" customHeight="false" outlineLevel="0" collapsed="false">
      <c r="A7" s="2" t="s">
        <v>16</v>
      </c>
      <c r="B7" s="2" t="s">
        <v>41</v>
      </c>
      <c r="C7" s="2" t="n">
        <v>1</v>
      </c>
      <c r="D7" s="2" t="s">
        <v>18</v>
      </c>
      <c r="E7" s="3" t="str">
        <f aca="false">IF(D7="Verified","Yes","No")</f>
        <v>No</v>
      </c>
      <c r="F7" s="4"/>
      <c r="G7" s="2" t="n">
        <v>0</v>
      </c>
      <c r="H7" s="5" t="str">
        <f aca="false">IF(F7="","",F7+30)</f>
        <v/>
      </c>
      <c r="I7" s="3" t="str">
        <f aca="true">IF(OR(D7="Closed",D7="Declined"),"Remove",IF(D7="Verified","Keep",IF(AND(D7="Contacted",OR(G7&gt;=2,AND(H7&lt;&gt;"",TODAY()&gt;H7))),"Remove","Follow up")))</f>
        <v>Follow up</v>
      </c>
      <c r="J7" s="2" t="s">
        <v>19</v>
      </c>
      <c r="K7" s="2" t="s">
        <v>42</v>
      </c>
      <c r="L7" s="2"/>
      <c r="M7" s="2"/>
      <c r="N7" s="2" t="s">
        <v>21</v>
      </c>
      <c r="O7" s="2" t="s">
        <v>43</v>
      </c>
      <c r="P7" s="2"/>
    </row>
    <row r="8" customFormat="false" ht="15" hidden="false" customHeight="false" outlineLevel="0" collapsed="false">
      <c r="A8" s="2" t="s">
        <v>16</v>
      </c>
      <c r="B8" s="2" t="s">
        <v>44</v>
      </c>
      <c r="C8" s="2" t="n">
        <v>1</v>
      </c>
      <c r="D8" s="2" t="s">
        <v>18</v>
      </c>
      <c r="E8" s="3" t="str">
        <f aca="false">IF(D8="Verified","Yes","No")</f>
        <v>No</v>
      </c>
      <c r="F8" s="4"/>
      <c r="G8" s="2" t="n">
        <v>0</v>
      </c>
      <c r="H8" s="5" t="str">
        <f aca="false">IF(F8="","",F8+30)</f>
        <v/>
      </c>
      <c r="I8" s="3" t="str">
        <f aca="true">IF(OR(D8="Closed",D8="Declined"),"Remove",IF(D8="Verified","Keep",IF(AND(D8="Contacted",OR(G8&gt;=2,AND(H8&lt;&gt;"",TODAY()&gt;H8))),"Remove","Follow up")))</f>
        <v>Follow up</v>
      </c>
      <c r="J8" s="2" t="s">
        <v>19</v>
      </c>
      <c r="K8" s="2" t="s">
        <v>45</v>
      </c>
      <c r="L8" s="2"/>
      <c r="M8" s="2"/>
      <c r="N8" s="2" t="s">
        <v>21</v>
      </c>
      <c r="O8" s="2" t="s">
        <v>43</v>
      </c>
      <c r="P8" s="2" t="s">
        <v>46</v>
      </c>
    </row>
    <row r="9" customFormat="false" ht="26.85" hidden="false" customHeight="false" outlineLevel="0" collapsed="false">
      <c r="A9" s="2" t="s">
        <v>16</v>
      </c>
      <c r="B9" s="2" t="s">
        <v>47</v>
      </c>
      <c r="C9" s="2" t="n">
        <v>1</v>
      </c>
      <c r="D9" s="2" t="s">
        <v>18</v>
      </c>
      <c r="E9" s="3" t="str">
        <f aca="false">IF(D9="Verified","Yes","No")</f>
        <v>No</v>
      </c>
      <c r="F9" s="4"/>
      <c r="G9" s="2" t="n">
        <v>0</v>
      </c>
      <c r="H9" s="5" t="str">
        <f aca="false">IF(F9="","",F9+30)</f>
        <v/>
      </c>
      <c r="I9" s="3" t="str">
        <f aca="true">IF(OR(D9="Closed",D9="Declined"),"Remove",IF(D9="Verified","Keep",IF(AND(D9="Contacted",OR(G9&gt;=2,AND(H9&lt;&gt;"",TODAY()&gt;H9))),"Remove","Follow up")))</f>
        <v>Follow up</v>
      </c>
      <c r="J9" s="2" t="s">
        <v>19</v>
      </c>
      <c r="K9" s="2" t="s">
        <v>48</v>
      </c>
      <c r="L9" s="2"/>
      <c r="M9" s="2"/>
      <c r="N9" s="2" t="s">
        <v>21</v>
      </c>
      <c r="O9" s="2" t="s">
        <v>43</v>
      </c>
      <c r="P9" s="2" t="s">
        <v>49</v>
      </c>
    </row>
    <row r="10" customFormat="false" ht="26.85" hidden="false" customHeight="false" outlineLevel="0" collapsed="false">
      <c r="A10" s="2" t="s">
        <v>50</v>
      </c>
      <c r="B10" s="2" t="s">
        <v>51</v>
      </c>
      <c r="C10" s="2" t="n">
        <v>1</v>
      </c>
      <c r="D10" s="2" t="s">
        <v>18</v>
      </c>
      <c r="E10" s="3" t="str">
        <f aca="false">IF(D10="Verified","Yes","No")</f>
        <v>No</v>
      </c>
      <c r="F10" s="4"/>
      <c r="G10" s="2" t="n">
        <v>0</v>
      </c>
      <c r="H10" s="5" t="str">
        <f aca="false">IF(F10="","",F10+30)</f>
        <v/>
      </c>
      <c r="I10" s="3" t="str">
        <f aca="true">IF(OR(D10="Closed",D10="Declined"),"Remove",IF(D10="Verified","Keep",IF(AND(D10="Contacted",OR(G10&gt;=2,AND(H10&lt;&gt;"",TODAY()&gt;H10))),"Remove","Follow up")))</f>
        <v>Follow up</v>
      </c>
      <c r="J10" s="2" t="s">
        <v>52</v>
      </c>
      <c r="K10" s="2" t="s">
        <v>53</v>
      </c>
      <c r="L10" s="2"/>
      <c r="M10" s="2"/>
      <c r="N10" s="2" t="s">
        <v>21</v>
      </c>
      <c r="O10" s="2" t="s">
        <v>54</v>
      </c>
      <c r="P10" s="2" t="s">
        <v>55</v>
      </c>
    </row>
    <row r="11" customFormat="false" ht="26.85" hidden="false" customHeight="false" outlineLevel="0" collapsed="false">
      <c r="A11" s="2" t="s">
        <v>50</v>
      </c>
      <c r="B11" s="2" t="s">
        <v>56</v>
      </c>
      <c r="C11" s="2" t="n">
        <v>1</v>
      </c>
      <c r="D11" s="2" t="s">
        <v>18</v>
      </c>
      <c r="E11" s="3" t="str">
        <f aca="false">IF(D11="Verified","Yes","No")</f>
        <v>No</v>
      </c>
      <c r="F11" s="4"/>
      <c r="G11" s="2" t="n">
        <v>0</v>
      </c>
      <c r="H11" s="5" t="str">
        <f aca="false">IF(F11="","",F11+30)</f>
        <v/>
      </c>
      <c r="I11" s="3" t="str">
        <f aca="true">IF(OR(D11="Closed",D11="Declined"),"Remove",IF(D11="Verified","Keep",IF(AND(D11="Contacted",OR(G11&gt;=2,AND(H11&lt;&gt;"",TODAY()&gt;H11))),"Remove","Follow up")))</f>
        <v>Follow up</v>
      </c>
      <c r="J11" s="2" t="s">
        <v>57</v>
      </c>
      <c r="K11" s="2" t="s">
        <v>58</v>
      </c>
      <c r="L11" s="2"/>
      <c r="M11" s="2"/>
      <c r="N11" s="2" t="s">
        <v>21</v>
      </c>
      <c r="O11" s="2" t="s">
        <v>59</v>
      </c>
      <c r="P11" s="2" t="s">
        <v>60</v>
      </c>
    </row>
    <row r="12" customFormat="false" ht="26.85" hidden="false" customHeight="false" outlineLevel="0" collapsed="false">
      <c r="A12" s="2" t="s">
        <v>50</v>
      </c>
      <c r="B12" s="2" t="s">
        <v>61</v>
      </c>
      <c r="C12" s="2" t="n">
        <v>1</v>
      </c>
      <c r="D12" s="2" t="s">
        <v>18</v>
      </c>
      <c r="E12" s="3" t="str">
        <f aca="false">IF(D12="Verified","Yes","No")</f>
        <v>No</v>
      </c>
      <c r="F12" s="4"/>
      <c r="G12" s="2" t="n">
        <v>0</v>
      </c>
      <c r="H12" s="5" t="str">
        <f aca="false">IF(F12="","",F12+30)</f>
        <v/>
      </c>
      <c r="I12" s="3" t="str">
        <f aca="true">IF(OR(D12="Closed",D12="Declined"),"Remove",IF(D12="Verified","Keep",IF(AND(D12="Contacted",OR(G12&gt;=2,AND(H12&lt;&gt;"",TODAY()&gt;H12))),"Remove","Follow up")))</f>
        <v>Follow up</v>
      </c>
      <c r="J12" s="2" t="s">
        <v>62</v>
      </c>
      <c r="K12" s="2" t="s">
        <v>58</v>
      </c>
      <c r="L12" s="2"/>
      <c r="M12" s="2"/>
      <c r="N12" s="2" t="s">
        <v>21</v>
      </c>
      <c r="O12" s="2" t="s">
        <v>59</v>
      </c>
      <c r="P12" s="2" t="s">
        <v>63</v>
      </c>
    </row>
    <row r="13" customFormat="false" ht="26.85" hidden="false" customHeight="false" outlineLevel="0" collapsed="false">
      <c r="A13" s="2" t="s">
        <v>50</v>
      </c>
      <c r="B13" s="2" t="s">
        <v>64</v>
      </c>
      <c r="C13" s="2" t="n">
        <v>1</v>
      </c>
      <c r="D13" s="2" t="s">
        <v>18</v>
      </c>
      <c r="E13" s="3" t="str">
        <f aca="false">IF(D13="Verified","Yes","No")</f>
        <v>No</v>
      </c>
      <c r="F13" s="4"/>
      <c r="G13" s="2" t="n">
        <v>0</v>
      </c>
      <c r="H13" s="5" t="str">
        <f aca="false">IF(F13="","",F13+30)</f>
        <v/>
      </c>
      <c r="I13" s="3" t="str">
        <f aca="true">IF(OR(D13="Closed",D13="Declined"),"Remove",IF(D13="Verified","Keep",IF(AND(D13="Contacted",OR(G13&gt;=2,AND(H13&lt;&gt;"",TODAY()&gt;H13))),"Remove","Follow up")))</f>
        <v>Follow up</v>
      </c>
      <c r="J13" s="2" t="s">
        <v>65</v>
      </c>
      <c r="K13" s="2" t="s">
        <v>66</v>
      </c>
      <c r="L13" s="2"/>
      <c r="M13" s="2"/>
      <c r="N13" s="2" t="s">
        <v>21</v>
      </c>
      <c r="O13" s="2" t="s">
        <v>67</v>
      </c>
      <c r="P13" s="2" t="s">
        <v>68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n">
        <v>1</v>
      </c>
      <c r="D14" s="2" t="s">
        <v>18</v>
      </c>
      <c r="E14" s="3" t="str">
        <f aca="false">IF(D14="Verified","Yes","No")</f>
        <v>No</v>
      </c>
      <c r="F14" s="4"/>
      <c r="G14" s="2" t="n">
        <v>0</v>
      </c>
      <c r="H14" s="5" t="str">
        <f aca="false">IF(F14="","",F14+30)</f>
        <v/>
      </c>
      <c r="I14" s="3" t="str">
        <f aca="true">IF(OR(D14="Closed",D14="Declined"),"Remove",IF(D14="Verified","Keep",IF(AND(D14="Contacted",OR(G14&gt;=2,AND(H14&lt;&gt;"",TODAY()&gt;H14))),"Remove","Follow up")))</f>
        <v>Follow up</v>
      </c>
      <c r="J14" s="2" t="s">
        <v>70</v>
      </c>
      <c r="K14" s="2" t="s">
        <v>58</v>
      </c>
      <c r="L14" s="2"/>
      <c r="M14" s="2"/>
      <c r="N14" s="2" t="s">
        <v>21</v>
      </c>
      <c r="O14" s="2" t="s">
        <v>59</v>
      </c>
      <c r="P14" s="2" t="s">
        <v>71</v>
      </c>
    </row>
    <row r="15" customFormat="false" ht="26.85" hidden="false" customHeight="false" outlineLevel="0" collapsed="false">
      <c r="A15" s="2" t="s">
        <v>50</v>
      </c>
      <c r="B15" s="2" t="s">
        <v>72</v>
      </c>
      <c r="C15" s="2" t="n">
        <v>2</v>
      </c>
      <c r="D15" s="2" t="s">
        <v>18</v>
      </c>
      <c r="E15" s="3" t="str">
        <f aca="false">IF(D15="Verified","Yes","No")</f>
        <v>No</v>
      </c>
      <c r="F15" s="4"/>
      <c r="G15" s="2" t="n">
        <v>0</v>
      </c>
      <c r="H15" s="5" t="str">
        <f aca="false">IF(F15="","",F15+30)</f>
        <v/>
      </c>
      <c r="I15" s="3" t="str">
        <f aca="true">IF(OR(D15="Closed",D15="Declined"),"Remove",IF(D15="Verified","Keep",IF(AND(D15="Contacted",OR(G15&gt;=2,AND(H15&lt;&gt;"",TODAY()&gt;H15))),"Remove","Follow up")))</f>
        <v>Follow up</v>
      </c>
      <c r="J15" s="2"/>
      <c r="K15" s="2" t="s">
        <v>73</v>
      </c>
      <c r="L15" s="2"/>
      <c r="M15" s="2"/>
      <c r="N15" s="2" t="s">
        <v>21</v>
      </c>
      <c r="O15" s="2" t="s">
        <v>74</v>
      </c>
      <c r="P15" s="2" t="s">
        <v>75</v>
      </c>
    </row>
    <row r="16" customFormat="false" ht="26.85" hidden="false" customHeight="false" outlineLevel="0" collapsed="false">
      <c r="A16" s="2" t="s">
        <v>76</v>
      </c>
      <c r="B16" s="2" t="s">
        <v>77</v>
      </c>
      <c r="C16" s="2" t="n">
        <v>1</v>
      </c>
      <c r="D16" s="2" t="s">
        <v>18</v>
      </c>
      <c r="E16" s="3" t="str">
        <f aca="false">IF(D16="Verified","Yes","No")</f>
        <v>No</v>
      </c>
      <c r="F16" s="4"/>
      <c r="G16" s="2" t="n">
        <v>0</v>
      </c>
      <c r="H16" s="5" t="str">
        <f aca="false">IF(F16="","",F16+30)</f>
        <v/>
      </c>
      <c r="I16" s="3" t="str">
        <f aca="true">IF(OR(D16="Closed",D16="Declined"),"Remove",IF(D16="Verified","Keep",IF(AND(D16="Contacted",OR(G16&gt;=2,AND(H16&lt;&gt;"",TODAY()&gt;H16))),"Remove","Follow up")))</f>
        <v>Follow up</v>
      </c>
      <c r="J16" s="2" t="s">
        <v>78</v>
      </c>
      <c r="K16" s="2" t="s">
        <v>79</v>
      </c>
      <c r="L16" s="2"/>
      <c r="M16" s="2"/>
      <c r="N16" s="2" t="s">
        <v>21</v>
      </c>
      <c r="O16" s="2" t="s">
        <v>80</v>
      </c>
      <c r="P16" s="2" t="s">
        <v>81</v>
      </c>
    </row>
    <row r="17" customFormat="false" ht="26.85" hidden="false" customHeight="false" outlineLevel="0" collapsed="false">
      <c r="A17" s="2" t="s">
        <v>76</v>
      </c>
      <c r="B17" s="2" t="s">
        <v>82</v>
      </c>
      <c r="C17" s="2" t="n">
        <v>1</v>
      </c>
      <c r="D17" s="2" t="s">
        <v>18</v>
      </c>
      <c r="E17" s="3" t="str">
        <f aca="false">IF(D17="Verified","Yes","No")</f>
        <v>No</v>
      </c>
      <c r="F17" s="4"/>
      <c r="G17" s="2" t="n">
        <v>0</v>
      </c>
      <c r="H17" s="5" t="str">
        <f aca="false">IF(F17="","",F17+30)</f>
        <v/>
      </c>
      <c r="I17" s="3" t="str">
        <f aca="true">IF(OR(D17="Closed",D17="Declined"),"Remove",IF(D17="Verified","Keep",IF(AND(D17="Contacted",OR(G17&gt;=2,AND(H17&lt;&gt;"",TODAY()&gt;H17))),"Remove","Follow up")))</f>
        <v>Follow up</v>
      </c>
      <c r="J17" s="2" t="s">
        <v>83</v>
      </c>
      <c r="K17" s="2" t="s">
        <v>84</v>
      </c>
      <c r="L17" s="2"/>
      <c r="M17" s="2"/>
      <c r="N17" s="2" t="s">
        <v>21</v>
      </c>
      <c r="O17" s="2" t="s">
        <v>85</v>
      </c>
      <c r="P17" s="2" t="s">
        <v>86</v>
      </c>
    </row>
    <row r="18" customFormat="false" ht="26.85" hidden="false" customHeight="false" outlineLevel="0" collapsed="false">
      <c r="A18" s="2" t="s">
        <v>76</v>
      </c>
      <c r="B18" s="2" t="s">
        <v>87</v>
      </c>
      <c r="C18" s="2" t="n">
        <v>1</v>
      </c>
      <c r="D18" s="2" t="s">
        <v>18</v>
      </c>
      <c r="E18" s="3" t="str">
        <f aca="false">IF(D18="Verified","Yes","No")</f>
        <v>No</v>
      </c>
      <c r="F18" s="4"/>
      <c r="G18" s="2" t="n">
        <v>0</v>
      </c>
      <c r="H18" s="5" t="str">
        <f aca="false">IF(F18="","",F18+30)</f>
        <v/>
      </c>
      <c r="I18" s="3" t="str">
        <f aca="true">IF(OR(D18="Closed",D18="Declined"),"Remove",IF(D18="Verified","Keep",IF(AND(D18="Contacted",OR(G18&gt;=2,AND(H18&lt;&gt;"",TODAY()&gt;H18))),"Remove","Follow up")))</f>
        <v>Follow up</v>
      </c>
      <c r="J18" s="2" t="s">
        <v>83</v>
      </c>
      <c r="K18" s="2" t="s">
        <v>88</v>
      </c>
      <c r="L18" s="2"/>
      <c r="M18" s="2"/>
      <c r="N18" s="2" t="s">
        <v>21</v>
      </c>
      <c r="O18" s="2" t="s">
        <v>89</v>
      </c>
      <c r="P18" s="2" t="s">
        <v>90</v>
      </c>
    </row>
    <row r="19" customFormat="false" ht="26.85" hidden="false" customHeight="false" outlineLevel="0" collapsed="false">
      <c r="A19" s="2" t="s">
        <v>76</v>
      </c>
      <c r="B19" s="2" t="s">
        <v>91</v>
      </c>
      <c r="C19" s="2" t="n">
        <v>1</v>
      </c>
      <c r="D19" s="2" t="s">
        <v>18</v>
      </c>
      <c r="E19" s="3" t="str">
        <f aca="false">IF(D19="Verified","Yes","No")</f>
        <v>No</v>
      </c>
      <c r="F19" s="4"/>
      <c r="G19" s="2" t="n">
        <v>0</v>
      </c>
      <c r="H19" s="5" t="str">
        <f aca="false">IF(F19="","",F19+30)</f>
        <v/>
      </c>
      <c r="I19" s="3" t="str">
        <f aca="true">IF(OR(D19="Closed",D19="Declined"),"Remove",IF(D19="Verified","Keep",IF(AND(D19="Contacted",OR(G19&gt;=2,AND(H19&lt;&gt;"",TODAY()&gt;H19))),"Remove","Follow up")))</f>
        <v>Follow up</v>
      </c>
      <c r="J19" s="2" t="s">
        <v>92</v>
      </c>
      <c r="K19" s="2" t="s">
        <v>93</v>
      </c>
      <c r="L19" s="2"/>
      <c r="M19" s="2"/>
      <c r="N19" s="2" t="s">
        <v>21</v>
      </c>
      <c r="O19" s="2" t="s">
        <v>94</v>
      </c>
      <c r="P19" s="2" t="s">
        <v>95</v>
      </c>
    </row>
    <row r="20" customFormat="false" ht="26.85" hidden="false" customHeight="false" outlineLevel="0" collapsed="false">
      <c r="A20" s="2" t="s">
        <v>76</v>
      </c>
      <c r="B20" s="2" t="s">
        <v>96</v>
      </c>
      <c r="C20" s="2" t="n">
        <v>2</v>
      </c>
      <c r="D20" s="2" t="s">
        <v>18</v>
      </c>
      <c r="E20" s="3" t="str">
        <f aca="false">IF(D20="Verified","Yes","No")</f>
        <v>No</v>
      </c>
      <c r="F20" s="4"/>
      <c r="G20" s="2" t="n">
        <v>0</v>
      </c>
      <c r="H20" s="5" t="str">
        <f aca="false">IF(F20="","",F20+30)</f>
        <v/>
      </c>
      <c r="I20" s="3" t="str">
        <f aca="true">IF(OR(D20="Closed",D20="Declined"),"Remove",IF(D20="Verified","Keep",IF(AND(D20="Contacted",OR(G20&gt;=2,AND(H20&lt;&gt;"",TODAY()&gt;H20))),"Remove","Follow up")))</f>
        <v>Follow up</v>
      </c>
      <c r="J20" s="2" t="s">
        <v>97</v>
      </c>
      <c r="K20" s="2" t="s">
        <v>98</v>
      </c>
      <c r="L20" s="2"/>
      <c r="M20" s="2"/>
      <c r="N20" s="2" t="s">
        <v>21</v>
      </c>
      <c r="O20" s="2" t="s">
        <v>99</v>
      </c>
      <c r="P20" s="2" t="s">
        <v>100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n">
        <v>2</v>
      </c>
      <c r="D21" s="2" t="s">
        <v>18</v>
      </c>
      <c r="E21" s="3" t="str">
        <f aca="false">IF(D21="Verified","Yes","No")</f>
        <v>No</v>
      </c>
      <c r="F21" s="4"/>
      <c r="G21" s="2" t="n">
        <v>0</v>
      </c>
      <c r="H21" s="5" t="str">
        <f aca="false">IF(F21="","",F21+30)</f>
        <v/>
      </c>
      <c r="I21" s="3" t="str">
        <f aca="true">IF(OR(D21="Closed",D21="Declined"),"Remove",IF(D21="Verified","Keep",IF(AND(D21="Contacted",OR(G21&gt;=2,AND(H21&lt;&gt;"",TODAY()&gt;H21))),"Remove","Follow up")))</f>
        <v>Follow up</v>
      </c>
      <c r="J21" s="2"/>
      <c r="K21" s="2" t="s">
        <v>102</v>
      </c>
      <c r="L21" s="2"/>
      <c r="M21" s="2"/>
      <c r="N21" s="2" t="s">
        <v>21</v>
      </c>
      <c r="O21" s="2" t="s">
        <v>103</v>
      </c>
      <c r="P21" s="2" t="s">
        <v>104</v>
      </c>
    </row>
    <row r="22" customFormat="false" ht="15" hidden="false" customHeight="false" outlineLevel="0" collapsed="false">
      <c r="A22" s="2" t="s">
        <v>76</v>
      </c>
      <c r="B22" s="2" t="s">
        <v>105</v>
      </c>
      <c r="C22" s="2" t="n">
        <v>2</v>
      </c>
      <c r="D22" s="2" t="s">
        <v>18</v>
      </c>
      <c r="E22" s="3" t="str">
        <f aca="false">IF(D22="Verified","Yes","No")</f>
        <v>No</v>
      </c>
      <c r="F22" s="4"/>
      <c r="G22" s="2" t="n">
        <v>0</v>
      </c>
      <c r="H22" s="5" t="str">
        <f aca="false">IF(F22="","",F22+30)</f>
        <v/>
      </c>
      <c r="I22" s="3" t="str">
        <f aca="true">IF(OR(D22="Closed",D22="Declined"),"Remove",IF(D22="Verified","Keep",IF(AND(D22="Contacted",OR(G22&gt;=2,AND(H22&lt;&gt;"",TODAY()&gt;H22))),"Remove","Follow up")))</f>
        <v>Follow up</v>
      </c>
      <c r="J22" s="2" t="s">
        <v>92</v>
      </c>
      <c r="K22" s="2" t="s">
        <v>106</v>
      </c>
      <c r="L22" s="2"/>
      <c r="M22" s="2"/>
      <c r="N22" s="2" t="s">
        <v>21</v>
      </c>
      <c r="O22" s="2" t="s">
        <v>107</v>
      </c>
      <c r="P22" s="2" t="s">
        <v>108</v>
      </c>
    </row>
    <row r="23" customFormat="false" ht="15" hidden="false" customHeight="false" outlineLevel="0" collapsed="false">
      <c r="A23" s="2" t="s">
        <v>76</v>
      </c>
      <c r="B23" s="2" t="s">
        <v>109</v>
      </c>
      <c r="C23" s="2" t="n">
        <v>2</v>
      </c>
      <c r="D23" s="2" t="s">
        <v>18</v>
      </c>
      <c r="E23" s="3" t="str">
        <f aca="false">IF(D23="Verified","Yes","No")</f>
        <v>No</v>
      </c>
      <c r="F23" s="4"/>
      <c r="G23" s="2" t="n">
        <v>0</v>
      </c>
      <c r="H23" s="5" t="str">
        <f aca="false">IF(F23="","",F23+30)</f>
        <v/>
      </c>
      <c r="I23" s="3" t="str">
        <f aca="true">IF(OR(D23="Closed",D23="Declined"),"Remove",IF(D23="Verified","Keep",IF(AND(D23="Contacted",OR(G23&gt;=2,AND(H23&lt;&gt;"",TODAY()&gt;H23))),"Remove","Follow up")))</f>
        <v>Follow up</v>
      </c>
      <c r="J23" s="2" t="s">
        <v>110</v>
      </c>
      <c r="K23" s="2" t="s">
        <v>111</v>
      </c>
      <c r="L23" s="2"/>
      <c r="M23" s="2"/>
      <c r="N23" s="2" t="s">
        <v>21</v>
      </c>
      <c r="O23" s="2" t="s">
        <v>112</v>
      </c>
      <c r="P23" s="2" t="s">
        <v>113</v>
      </c>
    </row>
    <row r="24" customFormat="false" ht="15" hidden="false" customHeight="false" outlineLevel="0" collapsed="false">
      <c r="A24" s="2" t="s">
        <v>16</v>
      </c>
      <c r="B24" s="2" t="s">
        <v>114</v>
      </c>
      <c r="C24" s="2" t="n">
        <v>2</v>
      </c>
      <c r="D24" s="2" t="s">
        <v>18</v>
      </c>
      <c r="E24" s="3" t="str">
        <f aca="false">IF(D24="Verified","Yes","No")</f>
        <v>No</v>
      </c>
      <c r="F24" s="4"/>
      <c r="G24" s="2" t="n">
        <v>0</v>
      </c>
      <c r="H24" s="5" t="str">
        <f aca="false">IF(F24="","",F24+30)</f>
        <v/>
      </c>
      <c r="I24" s="3" t="str">
        <f aca="true">IF(OR(D24="Closed",D24="Declined"),"Remove",IF(D24="Verified","Keep",IF(AND(D24="Contacted",OR(G24&gt;=2,AND(H24&lt;&gt;"",TODAY()&gt;H24))),"Remove","Follow up")))</f>
        <v>Follow up</v>
      </c>
      <c r="J24" s="2"/>
      <c r="K24" s="2" t="s">
        <v>115</v>
      </c>
      <c r="L24" s="2"/>
      <c r="M24" s="2"/>
      <c r="N24" s="2" t="s">
        <v>21</v>
      </c>
      <c r="O24" s="2" t="s">
        <v>116</v>
      </c>
      <c r="P24" s="2" t="s">
        <v>117</v>
      </c>
    </row>
  </sheetData>
  <autoFilter ref="A1:P24"/>
  <conditionalFormatting sqref="D2:D224">
    <cfRule type="expression" priority="2" aboveAverage="0" equalAverage="0" bottom="0" percent="0" rank="0" text="" dxfId="5">
      <formula>$D2="Verified"</formula>
    </cfRule>
    <cfRule type="expression" priority="3" aboveAverage="0" equalAverage="0" bottom="0" percent="0" rank="0" text="" dxfId="6">
      <formula>$D2="Contacted"</formula>
    </cfRule>
    <cfRule type="expression" priority="4" aboveAverage="0" equalAverage="0" bottom="0" percent="0" rank="0" text="" dxfId="7">
      <formula>$D2="Declined"</formula>
    </cfRule>
    <cfRule type="expression" priority="5" aboveAverage="0" equalAverage="0" bottom="0" percent="0" rank="0" text="" dxfId="8">
      <formula>$D2="Closed"</formula>
    </cfRule>
  </conditionalFormatting>
  <conditionalFormatting sqref="I2:I224">
    <cfRule type="expression" priority="6" aboveAverage="0" equalAverage="0" bottom="0" percent="0" rank="0" text="" dxfId="9">
      <formula>$I2="Remove"</formula>
    </cfRule>
  </conditionalFormatting>
  <dataValidations count="2">
    <dataValidation allowBlank="false" errorStyle="stop" operator="between" showDropDown="false" showErrorMessage="false" showInputMessage="false" sqref="D2:D224" type="list">
      <formula1>"Not contacted,Contacted,Verified,Declined,Closed"</formula1>
      <formula2>0</formula2>
    </dataValidation>
    <dataValidation allowBlank="false" errorStyle="stop" operator="between" showDropDown="false" showErrorMessage="false" showInputMessage="false" sqref="A2:A224" type="list">
      <formula1>"Airport lei,Luau guide,Send a lei"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5" hidden="false" customHeight="false" outlineLevel="0" collapsed="false">
      <c r="A1" s="6" t="s">
        <v>0</v>
      </c>
      <c r="B1" s="6" t="s">
        <v>118</v>
      </c>
      <c r="C1" s="6" t="s">
        <v>119</v>
      </c>
      <c r="D1" s="6" t="s">
        <v>120</v>
      </c>
      <c r="E1" s="6" t="s">
        <v>18</v>
      </c>
      <c r="F1" s="6" t="s">
        <v>121</v>
      </c>
    </row>
    <row r="2" customFormat="false" ht="15" hidden="false" customHeight="false" outlineLevel="0" collapsed="false">
      <c r="A2" s="7" t="s">
        <v>16</v>
      </c>
      <c r="B2" s="7" t="n">
        <f aca="false">COUNTIFS(Vendors!$A:$A,A2,Vendors!$C:$C,1)</f>
        <v>8</v>
      </c>
      <c r="C2" s="7" t="n">
        <f aca="false">COUNTIFS(Vendors!$A:$A,A2,Vendors!$D:$D,"Verified")</f>
        <v>0</v>
      </c>
      <c r="D2" s="7" t="n">
        <f aca="false">COUNTIFS(Vendors!$A:$A,A2,Vendors!$D:$D,"Contacted")</f>
        <v>0</v>
      </c>
      <c r="E2" s="7" t="n">
        <f aca="false">COUNTIFS(Vendors!$A:$A,A2,Vendors!$D:$D,"Not contacted")</f>
        <v>9</v>
      </c>
      <c r="F2" s="7" t="n">
        <f aca="false">COUNTIFS(Vendors!$A:$A,A2,Vendors!$I:$I,"Remove")</f>
        <v>0</v>
      </c>
    </row>
    <row r="3" customFormat="false" ht="15" hidden="false" customHeight="false" outlineLevel="0" collapsed="false">
      <c r="A3" s="7" t="s">
        <v>50</v>
      </c>
      <c r="B3" s="7" t="n">
        <f aca="false">COUNTIFS(Vendors!$A:$A,A3,Vendors!$C:$C,1)</f>
        <v>5</v>
      </c>
      <c r="C3" s="7" t="n">
        <f aca="false">COUNTIFS(Vendors!$A:$A,A3,Vendors!$D:$D,"Verified")</f>
        <v>0</v>
      </c>
      <c r="D3" s="7" t="n">
        <f aca="false">COUNTIFS(Vendors!$A:$A,A3,Vendors!$D:$D,"Contacted")</f>
        <v>0</v>
      </c>
      <c r="E3" s="7" t="n">
        <f aca="false">COUNTIFS(Vendors!$A:$A,A3,Vendors!$D:$D,"Not contacted")</f>
        <v>6</v>
      </c>
      <c r="F3" s="7" t="n">
        <f aca="false">COUNTIFS(Vendors!$A:$A,A3,Vendors!$I:$I,"Remove")</f>
        <v>0</v>
      </c>
    </row>
    <row r="4" customFormat="false" ht="15" hidden="false" customHeight="false" outlineLevel="0" collapsed="false">
      <c r="A4" s="7" t="s">
        <v>76</v>
      </c>
      <c r="B4" s="7" t="n">
        <f aca="false">COUNTIFS(Vendors!$A:$A,A4,Vendors!$C:$C,1)</f>
        <v>4</v>
      </c>
      <c r="C4" s="7" t="n">
        <f aca="false">COUNTIFS(Vendors!$A:$A,A4,Vendors!$D:$D,"Verified")</f>
        <v>0</v>
      </c>
      <c r="D4" s="7" t="n">
        <f aca="false">COUNTIFS(Vendors!$A:$A,A4,Vendors!$D:$D,"Contacted")</f>
        <v>0</v>
      </c>
      <c r="E4" s="7" t="n">
        <f aca="false">COUNTIFS(Vendors!$A:$A,A4,Vendors!$D:$D,"Not contacted")</f>
        <v>8</v>
      </c>
      <c r="F4" s="7" t="n">
        <f aca="false">COUNTIFS(Vendors!$A:$A,A4,Vendors!$I:$I,"Remove")</f>
        <v>0</v>
      </c>
    </row>
    <row r="5" customFormat="false" ht="15" hidden="false" customHeight="false" outlineLevel="0" collapsed="false">
      <c r="A5" s="8" t="s">
        <v>122</v>
      </c>
      <c r="B5" s="8" t="n">
        <f aca="false">SUM(B2:B4)</f>
        <v>17</v>
      </c>
      <c r="C5" s="8" t="n">
        <f aca="false">SUM(C2:C4)</f>
        <v>0</v>
      </c>
      <c r="D5" s="8" t="n">
        <f aca="false">SUM(D2:D4)</f>
        <v>0</v>
      </c>
      <c r="E5" s="8" t="n">
        <f aca="false">SUM(E2:E4)</f>
        <v>23</v>
      </c>
      <c r="F5" s="8" t="n">
        <f aca="false">SUM(F2:F4)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9" t="s">
        <v>123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124</v>
      </c>
    </row>
    <row r="4" customFormat="false" ht="15" hidden="false" customHeight="false" outlineLevel="0" collapsed="false">
      <c r="A4" s="10" t="s">
        <v>125</v>
      </c>
    </row>
    <row r="5" customFormat="false" ht="15" hidden="false" customHeight="false" outlineLevel="0" collapsed="false">
      <c r="A5" s="10" t="s">
        <v>126</v>
      </c>
    </row>
    <row r="6" customFormat="false" ht="15" hidden="false" customHeight="false" outlineLevel="0" collapsed="false">
      <c r="A6" s="10" t="s">
        <v>127</v>
      </c>
    </row>
    <row r="7" customFormat="false" ht="15" hidden="false" customHeight="false" outlineLevel="0" collapsed="false">
      <c r="A7" s="10" t="s">
        <v>128</v>
      </c>
    </row>
    <row r="8" customFormat="false" ht="26.85" hidden="false" customHeight="false" outlineLevel="0" collapsed="false">
      <c r="A8" s="10" t="s">
        <v>129</v>
      </c>
    </row>
    <row r="9" customFormat="false" ht="15" hidden="false" customHeight="false" outlineLevel="0" collapsed="false">
      <c r="A9" s="10" t="s">
        <v>130</v>
      </c>
    </row>
    <row r="10" customFormat="false" ht="15" hidden="false" customHeight="false" outlineLevel="0" collapsed="false">
      <c r="A10" s="10" t="s">
        <v>131</v>
      </c>
    </row>
    <row r="11" customFormat="false" ht="26.85" hidden="false" customHeight="false" outlineLevel="0" collapsed="false">
      <c r="A11" s="10" t="s">
        <v>132</v>
      </c>
    </row>
    <row r="12" customFormat="false" ht="15" hidden="false" customHeight="false" outlineLevel="0" collapsed="false">
      <c r="A12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2026-10-09T04:34:41Z</dcterms:created>
  <dc:creator>openpyxl</dc:creator>
  <dc:description/>
  <dc:language>en-US</dc:language>
  <cp:lastModifiedBy/>
  <dcterms:modified xsi:type="dcterms:W3CDTF">2026-10-09T04:34:41Z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